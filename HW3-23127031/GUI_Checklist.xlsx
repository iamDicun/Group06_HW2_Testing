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 tabRatio="500" activeTab="2"/>
  </bookViews>
  <sheets>
    <sheet name="Checklist" sheetId="1" r:id="rId1"/>
    <sheet name="Test Summary" sheetId="2" r:id="rId2"/>
    <sheet name="Bug Li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<sst xmlns="http://schemas.openxmlformats.org/spreadsheetml/2006/main" count="385" uniqueCount="158">
  <si>
    <t>GUI Checklist — Đăng ký (Registry) &amp; Đăng nhập (Login)</t>
  </si>
  <si>
    <t>Hệ thống: EShop  |  URL test: https://eshop-sut-whje.vercel.app/</t>
  </si>
  <si>
    <t>Functional Requirements: FR-01 (Registry), FR-02 (Login)</t>
  </si>
  <si>
    <t>Ngày tạo checklist: 02/08/2026  |  Ngày thực thi: 02/08/2026  |  Trạng thái: Đã thực hiện</t>
  </si>
  <si>
    <t>STT</t>
  </si>
  <si>
    <t>Hạng mục kiểm tra</t>
  </si>
  <si>
    <t>IA</t>
  </si>
  <si>
    <t>Màn hình</t>
  </si>
  <si>
    <t>Pass/Fail</t>
  </si>
  <si>
    <t>Ghi chú (mô tả lỗi nếu Fail)</t>
  </si>
  <si>
    <t>Tiêu đề/trang có nhãn rõ ràng (ví dụ: "Đăng ký", "Register")</t>
  </si>
  <si>
    <t>IA-01</t>
  </si>
  <si>
    <t>Đăng ký</t>
  </si>
  <si>
    <t>Pass</t>
  </si>
  <si>
    <t>Bố cục form căn chỉnh, khoảng cách giữa các trường đồng nhất</t>
  </si>
  <si>
    <t>Font chữ, màu chữ dễ đọc trên nền hiện tại</t>
  </si>
  <si>
    <t>Nhãn (label) hiển thị đầy đủ cho tất cả trường nhập</t>
  </si>
  <si>
    <t>Trường bắt buộc được đánh dấu rõ (ví dụ: dấu * hoặc text "bắt buộc")</t>
  </si>
  <si>
    <t>Nút submit có nhãn rõ ràng (ví dụ: "Đăng ký", "Register")</t>
  </si>
  <si>
    <t>Giao diện responsive / hiển thị ổn trên viewport phổ biến</t>
  </si>
  <si>
    <t>Trường Họ Tên hiển thị và cho phép nhập liệu</t>
  </si>
  <si>
    <t>IA-02</t>
  </si>
  <si>
    <t>Trường Email hiển thị và cho phép nhập liệu</t>
  </si>
  <si>
    <t>Trường Email dùng type="email" (validate HTML5 format)</t>
  </si>
  <si>
    <t>Fail</t>
  </si>
  <si>
    <t>Email dùng `type="text"` thay vì `type="email"` — không có HTML5 format validation</t>
  </si>
  <si>
    <t>Trường Mật khẩu hiển thị dạng che (password/masked)</t>
  </si>
  <si>
    <t>Trường Xác nhận mật khẩu hiển thị và cho phép nhập liệu</t>
  </si>
  <si>
    <t>Không có trường Xác nhận mật khẩu — form chỉ có 1 password field</t>
  </si>
  <si>
    <t>Submit khi để trống Họ Tên → hiển thị thông báo lỗi phù hợp</t>
  </si>
  <si>
    <t>Submit khi để trống Email → hiển thị thông báo lỗi phù hợp</t>
  </si>
  <si>
    <t>Submit khi để trống Mật khẩu → hiển thị thông báo lỗi phù hợp</t>
  </si>
  <si>
    <t>Submit khi để trống Xác nhận mật khẩu → hiển thị thông báo lỗi phù hợp</t>
  </si>
  <si>
    <t>Không có trường Xác nhận mật khẩu để kiểm tra</t>
  </si>
  <si>
    <t>Email sai định dạng (ví dụ: abc, user@) → bị từ chối với thông báo rõ ràng</t>
  </si>
  <si>
    <t>Email type="text" nên không có HTML5 format validation — "abc" được chấp nhận</t>
  </si>
  <si>
    <t>Email đúng định dạng (user@domain.com) → pass validation format</t>
  </si>
  <si>
    <t>Email đã tồn tại trong hệ thống → bị từ chối với thông báo phù hợp</t>
  </si>
  <si>
    <t>Không hiển thị thông báo lỗi trùng email — form vẫn ở trang /register</t>
  </si>
  <si>
    <t>Mật khẩu &lt; 8 ký tự → bị từ chối</t>
  </si>
  <si>
    <t>Mật khẩu thiếu chữ hoa → bị từ chối</t>
  </si>
  <si>
    <t>Mật khẩu thiếu chữ thường → bị từ chối</t>
  </si>
  <si>
    <t>Mật khẩu thiếu chữ số → bị từ chối</t>
  </si>
  <si>
    <t>Mật khẩu thiếu ký tự đặc biệt (@, $, !, %, *, ?, &amp;) → bị từ chối</t>
  </si>
  <si>
    <t>Mật khẩu đáp ứng đủ quy tắc mạnh → pass validation</t>
  </si>
  <si>
    <t>Đăng ký với mật khẩu mạnh không thành công — vẫn ở trang /register</t>
  </si>
  <si>
    <t>Mật khẩu và Xác nhận mật khẩu không khớp → bị từ chối</t>
  </si>
  <si>
    <t>Mật khẩu và Xác nhận mật khẩu khớp nhau → pass validation khớp</t>
  </si>
  <si>
    <t>Có hướng dẫn/quy tắc mật khẩu hiển thị cho người dùng (nếu thiết kế có)</t>
  </si>
  <si>
    <t>Tab order giữa các trường theo thứ tự logic (Họ Tên → Email → Mật khẩu → Xác nhận → Submit)</t>
  </si>
  <si>
    <t>Có liên kết/chuyển hướng tới trang Đăng nhập (ví dụ: "Đã có tài khoản?")</t>
  </si>
  <si>
    <t>IA-03</t>
  </si>
  <si>
    <t>Liên kết tới trang Đăng nhập hoạt động đúng</t>
  </si>
  <si>
    <t>Đăng ký thành công → tự động chuyển hướng tới trang Đăng nhập</t>
  </si>
  <si>
    <t>Trong lúc submit, nút Đăng ký bị vô hiệu hoặc hiển thị trạng thái loading</t>
  </si>
  <si>
    <t>IA-04</t>
  </si>
  <si>
    <t>Button không bị disabled và không có loading indicator</t>
  </si>
  <si>
    <t>Lỗi validation hiển thị gần trường tương ứng hoặc vị trí dễ nhận biết</t>
  </si>
  <si>
    <t>Thông báo lỗi dùng ngôn ngữ rõ ràng, không gây hiểu nhầm</t>
  </si>
  <si>
    <t>Đăng ký thành công có phản hồi rõ (toast/message/redirect) trước hoặc khi chuyển trang</t>
  </si>
  <si>
    <t>Không có thông báo thành công</t>
  </si>
  <si>
    <t>Sau lỗi, dữ liệu đã nhập (trừ mật khẩu) được giữ lại hoặc xử lý nhất quán</t>
  </si>
  <si>
    <t>Người dùng có thể hoàn thành form chỉ bằng bàn phím (Tab, Shift+Tab, Enter)</t>
  </si>
  <si>
    <t>Liên kết hoặc nút đổi màu khi hover để thể hiện trạng thái tương tác</t>
  </si>
  <si>
    <t>Giao diện vẫn hiển thị đúng khi phóng to trình duyệt lên 200% (không vỡ bố cục, không chồng chữ)</t>
  </si>
  <si>
    <t>Tiêu đề/trang có nhãn rõ ràng (ví dụ: "Đăng nhập", "Login")</t>
  </si>
  <si>
    <t>Đăng nhập</t>
  </si>
  <si>
    <t>Heading trang Login hiển thị "Đăng Ký" thay vì "Đăng Nhập"</t>
  </si>
  <si>
    <t>Nhãn hiển thị đầy đủ cho trường Email và Mật khẩu</t>
  </si>
  <si>
    <t>Nút submit có nhãn rõ ràng (ví dụ: "Đăng nhập", "Sign In")</t>
  </si>
  <si>
    <t>Username dùng `type="text"` thay vì `type="email"` — không có HTML5 format validation</t>
  </si>
  <si>
    <t>Mật khẩu dùng `type="text"` — hiển thị PLAINTEXT, không che</t>
  </si>
  <si>
    <t>Email sai định dạng HTML5 (ví dụ: abc) → bị chặn/báo lỗi trước khi gửi request</t>
  </si>
  <si>
    <t>Username type="text" nên "abc" được chấp nhận — không có HTML5 validation</t>
  </si>
  <si>
    <t>Email đúng định dạng → cho phép submit form</t>
  </si>
  <si>
    <t>Tab order theo thứ tự logic (Email → Mật khẩu → Submit)</t>
  </si>
  <si>
    <t>Có liên kết/chuyển hướng tới trang Đăng ký (ví dụ: "Chưa có tài khoản?")</t>
  </si>
  <si>
    <t>Liên kết tới trang Đăng ký hoạt động đúng</t>
  </si>
  <si>
    <t>Đăng nhập thành công → chuyển hướng tới trang chính/landing phù hợp</t>
  </si>
  <si>
    <t>Đăng nhập sai lần 1 → tăng bộ đếm đúng 1, hiển thị lỗi chung (không lộ email tồn tại hay không)</t>
  </si>
  <si>
    <t>Đăng nhập sai lần 2 liên tiếp → bộ đếm = 2, vẫn cho phép thử (chưa khóa)</t>
  </si>
  <si>
    <t>Đăng nhập sai lần 3 liên tiếp → tài khoản bị khóa 30 giây</t>
  </si>
  <si>
    <t>Không hiển thị thông báo khóa tài khoản sau 3 lần sai</t>
  </si>
  <si>
    <t>Thông báo khóa tài khoản rõ ràng, không tiết lộ chi tiết nguyên nhân (enumeration)</t>
  </si>
  <si>
    <t>Không có thông báo khóa</t>
  </si>
  <si>
    <t>Email chưa đăng ký + mật khẩu bất kỳ → thông báo lỗi chung, không khác biệt so với sai mật khẩu</t>
  </si>
  <si>
    <t>Email đúng + mật khẩu sai → thông báo lỗi chung, không tiết lộ mật khẩu sai</t>
  </si>
  <si>
    <t>Trong thời gian khóa (30s), submit đúng thông tin vẫn bị từ chối</t>
  </si>
  <si>
    <t>Sau 30 giây, tài khoản được mở khóa và có thể đăng nhập lại</t>
  </si>
  <si>
    <t>Sau 30s vẫn không đăng nhập được — URL vẫn ở /login</t>
  </si>
  <si>
    <t>Trong lúc submit, nút Đăng nhập bị vô hiệu hoặc hiển thị trạng thái loading</t>
  </si>
  <si>
    <t>Trạng thái đã đăng nhập phản ánh trên UI (ví dụ: hiển thị tên user, ẩn nút login)</t>
  </si>
  <si>
    <t>Tóm tắt kiểm thử (Test Summary)</t>
  </si>
  <si>
    <t>Số lượng màn hình đã kiểm thử</t>
  </si>
  <si>
    <t>Số lượng hạng mục checklist đã thiết kế</t>
  </si>
  <si>
    <t>Số lượng hạng mục đã thực hiện (Pass+Fail+N/A)</t>
  </si>
  <si>
    <t>Số lượng hạng mục Pass</t>
  </si>
  <si>
    <t>Số lượng hạng mục Fail</t>
  </si>
  <si>
    <t>Số lượng lỗi được phát hiện (= số Fail)</t>
  </si>
  <si>
    <t>Phân bổ theo IA</t>
  </si>
  <si>
    <t>Nhóm IA</t>
  </si>
  <si>
    <t>Registry (FR-01)</t>
  </si>
  <si>
    <t>Login (FR-02)</t>
  </si>
  <si>
    <t>Tổng</t>
  </si>
  <si>
    <t>IA-01: General UI Standards</t>
  </si>
  <si>
    <t>IA-02: Forms</t>
  </si>
  <si>
    <t>IA-03: Navigation</t>
  </si>
  <si>
    <t>IA-04: Feedback/State</t>
  </si>
  <si>
    <t>Danh sách lỗi phát hiện (Bugs Found) — EShop Registry &amp; Login</t>
  </si>
  <si>
    <t>Bug ID</t>
  </si>
  <si>
    <t>Mô tả</t>
  </si>
  <si>
    <t>Severity</t>
  </si>
  <si>
    <t>Checklist STT</t>
  </si>
  <si>
    <t>GitHub Issue #</t>
  </si>
  <si>
    <t>BUG-01</t>
  </si>
  <si>
    <t>Register: Email field dùng type="text" thay vì type="email" — không có HTML5 format validation</t>
  </si>
  <si>
    <t>Major</t>
  </si>
  <si>
    <t>10, 17</t>
  </si>
  <si>
    <t>#81</t>
  </si>
  <si>
    <t>BUG-02</t>
  </si>
  <si>
    <t>Register: Không có trường Xác nhận mật khẩu (Confirm Password)</t>
  </si>
  <si>
    <t>Critical</t>
  </si>
  <si>
    <t>12, 16, 26, 27</t>
  </si>
  <si>
    <t>#82</t>
  </si>
  <si>
    <t>BUG-03</t>
  </si>
  <si>
    <t>Register: Button submit không có disabled/loading state trong lúc gửi</t>
  </si>
  <si>
    <t>33</t>
  </si>
  <si>
    <t>#83</t>
  </si>
  <si>
    <t>BUG-04</t>
  </si>
  <si>
    <t>Register: Email trùng không hiển thị lỗi rõ ràng</t>
  </si>
  <si>
    <t>19</t>
  </si>
  <si>
    <t>#84</t>
  </si>
  <si>
    <t>BUG-05</t>
  </si>
  <si>
    <t>Register: Đăng ký thành công không có phản hồi rõ (toast/message)</t>
  </si>
  <si>
    <t>36</t>
  </si>
  <si>
    <t>#85</t>
  </si>
  <si>
    <t>BUG-06</t>
  </si>
  <si>
    <t>Login: Heading trang Login hiển thị "Đăng Ký" thay vì "Đăng Nhập"</t>
  </si>
  <si>
    <t>41</t>
  </si>
  <si>
    <t>#86</t>
  </si>
  <si>
    <t>BUG-07</t>
  </si>
  <si>
    <t>Login: Username field dùng type="text" thay vì type="email" — không có HTML5 validation</t>
  </si>
  <si>
    <t>48, 52</t>
  </si>
  <si>
    <t>#87</t>
  </si>
  <si>
    <t>BUG-08</t>
  </si>
  <si>
    <t>Login: Mật khẩu dùng type="text" — hiển thị PLAINTEXT, không che</t>
  </si>
  <si>
    <t>49</t>
  </si>
  <si>
    <t>#88</t>
  </si>
  <si>
    <t>BUG-09</t>
  </si>
  <si>
    <t>Login: Không có thông báo khóa tài khoản sau 3 lần sai</t>
  </si>
  <si>
    <t>60, 61, 65</t>
  </si>
  <si>
    <t>#89</t>
  </si>
  <si>
    <t>BUG-10</t>
  </si>
  <si>
    <t>Login: Button submit không có disabled/loading state trong lúc gửi</t>
  </si>
  <si>
    <t>66</t>
  </si>
  <si>
    <t>#90</t>
  </si>
  <si>
    <t>Tổng: 10 bugs</t>
  </si>
  <si>
    <t>Critical: 3 | Major: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</si>
</sst>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name val="Times New Roman"/>
      <charset val="1"/>
    </font>
    <font>
      <b/>
      <sz val="12"/>
      <color rgb="FFFFFFFF"/>
      <name val="Times New Roman"/>
      <charset val="1"/>
    </font>
    <font>
      <sz val="12"/>
      <name val="Times New Roman"/>
      <charset val="1"/>
    </font>
    <font>
      <sz val="11"/>
      <color theme="1"/>
      <name val="Times New Roman"/>
      <charset val="1"/>
    </font>
    <font>
      <b/>
      <sz val="14"/>
      <name val="Times New Roman"/>
      <charset val="1"/>
    </font>
    <font>
      <sz val="10"/>
      <name val="Times New Roman"/>
      <charset val="1"/>
    </font>
    <font>
      <b/>
      <sz val="11"/>
      <color rgb="FFFFFFFF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D966"/>
        <bgColor rgb="FFFFCC00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 applyAlignment="1"/>
    <xf numFmtId="0" fontId="2" fillId="0" borderId="0" xfId="0" applyFont="1" applyBorder="1" applyAlignment="1"/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D966"/>
      <rgbColor rgb="0099CCFF"/>
      <rgbColor rgb="00FF99CC"/>
      <rgbColor rgb="00CC99FF"/>
      <rgbColor rgb="00FFC7CE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workbookViewId="0">
      <pane ySplit="6" topLeftCell="A73" activePane="bottomLeft" state="frozen"/>
      <selection/>
      <selection pane="bottomLeft" activeCell="A7" sqref="A7:F76"/>
    </sheetView>
  </sheetViews>
  <sheetFormatPr defaultColWidth="8.68181818181818" defaultRowHeight="14" outlineLevelCol="5"/>
  <cols>
    <col min="1" max="1" width="6" style="16" customWidth="1"/>
    <col min="2" max="2" width="62" style="16" customWidth="1"/>
    <col min="3" max="3" width="8" style="16" customWidth="1"/>
    <col min="4" max="5" width="12" style="16" customWidth="1"/>
    <col min="6" max="6" width="45" style="16" customWidth="1"/>
    <col min="7" max="16384" width="8.68181818181818" style="17"/>
  </cols>
  <sheetData>
    <row r="1" ht="17.25" customHeight="1" spans="1:6">
      <c r="A1" s="18" t="s">
        <v>0</v>
      </c>
      <c r="B1" s="18"/>
      <c r="C1" s="18"/>
      <c r="D1" s="18"/>
      <c r="E1" s="18"/>
      <c r="F1" s="18"/>
    </row>
    <row r="2" ht="15" customHeight="1" spans="1:6">
      <c r="A2" s="19" t="s">
        <v>1</v>
      </c>
      <c r="B2" s="19"/>
      <c r="C2" s="19"/>
      <c r="D2" s="19"/>
      <c r="E2" s="19"/>
      <c r="F2" s="19"/>
    </row>
    <row r="3" ht="15" customHeight="1" spans="1:6">
      <c r="A3" s="19" t="s">
        <v>2</v>
      </c>
      <c r="B3" s="19"/>
      <c r="C3" s="19"/>
      <c r="D3" s="19"/>
      <c r="E3" s="19"/>
      <c r="F3" s="19"/>
    </row>
    <row r="4" ht="15" customHeight="1" spans="1:6">
      <c r="A4" s="19" t="s">
        <v>3</v>
      </c>
      <c r="B4" s="19"/>
      <c r="C4" s="19"/>
      <c r="D4" s="19"/>
      <c r="E4" s="19"/>
      <c r="F4" s="19"/>
    </row>
    <row r="6" ht="19.5" customHeight="1" spans="1:6">
      <c r="A6" s="20" t="s">
        <v>4</v>
      </c>
      <c r="B6" s="20" t="s">
        <v>5</v>
      </c>
      <c r="C6" s="20" t="s">
        <v>6</v>
      </c>
      <c r="D6" s="20" t="s">
        <v>7</v>
      </c>
      <c r="E6" s="20" t="s">
        <v>8</v>
      </c>
      <c r="F6" s="20" t="s">
        <v>9</v>
      </c>
    </row>
    <row r="7" ht="15" customHeight="1" spans="1:6">
      <c r="A7" s="21">
        <v>1</v>
      </c>
      <c r="B7" s="5" t="s">
        <v>10</v>
      </c>
      <c r="C7" s="21" t="s">
        <v>11</v>
      </c>
      <c r="D7" s="21" t="s">
        <v>12</v>
      </c>
      <c r="E7" s="21" t="s">
        <v>13</v>
      </c>
      <c r="F7" s="5"/>
    </row>
    <row r="8" ht="15" customHeight="1" spans="1:6">
      <c r="A8" s="21">
        <v>2</v>
      </c>
      <c r="B8" s="5" t="s">
        <v>14</v>
      </c>
      <c r="C8" s="21" t="s">
        <v>11</v>
      </c>
      <c r="D8" s="21" t="s">
        <v>12</v>
      </c>
      <c r="E8" s="21" t="s">
        <v>13</v>
      </c>
      <c r="F8" s="5"/>
    </row>
    <row r="9" ht="15" customHeight="1" spans="1:6">
      <c r="A9" s="21">
        <v>3</v>
      </c>
      <c r="B9" s="5" t="s">
        <v>15</v>
      </c>
      <c r="C9" s="21" t="s">
        <v>11</v>
      </c>
      <c r="D9" s="21" t="s">
        <v>12</v>
      </c>
      <c r="E9" s="21" t="s">
        <v>13</v>
      </c>
      <c r="F9" s="5"/>
    </row>
    <row r="10" ht="15" customHeight="1" spans="1:6">
      <c r="A10" s="21">
        <v>4</v>
      </c>
      <c r="B10" s="5" t="s">
        <v>16</v>
      </c>
      <c r="C10" s="21" t="s">
        <v>11</v>
      </c>
      <c r="D10" s="21" t="s">
        <v>12</v>
      </c>
      <c r="E10" s="21" t="s">
        <v>13</v>
      </c>
      <c r="F10" s="5"/>
    </row>
    <row r="11" ht="15" customHeight="1" spans="1:6">
      <c r="A11" s="21">
        <v>5</v>
      </c>
      <c r="B11" s="5" t="s">
        <v>17</v>
      </c>
      <c r="C11" s="21" t="s">
        <v>11</v>
      </c>
      <c r="D11" s="21" t="s">
        <v>12</v>
      </c>
      <c r="E11" s="21" t="s">
        <v>13</v>
      </c>
      <c r="F11" s="5"/>
    </row>
    <row r="12" ht="15" customHeight="1" spans="1:6">
      <c r="A12" s="21">
        <v>6</v>
      </c>
      <c r="B12" s="5" t="s">
        <v>18</v>
      </c>
      <c r="C12" s="21" t="s">
        <v>11</v>
      </c>
      <c r="D12" s="21" t="s">
        <v>12</v>
      </c>
      <c r="E12" s="21" t="s">
        <v>13</v>
      </c>
      <c r="F12" s="5"/>
    </row>
    <row r="13" ht="15" customHeight="1" spans="1:6">
      <c r="A13" s="21">
        <v>7</v>
      </c>
      <c r="B13" s="5" t="s">
        <v>19</v>
      </c>
      <c r="C13" s="21" t="s">
        <v>11</v>
      </c>
      <c r="D13" s="21" t="s">
        <v>12</v>
      </c>
      <c r="E13" s="21" t="s">
        <v>13</v>
      </c>
      <c r="F13" s="5"/>
    </row>
    <row r="14" ht="15" customHeight="1" spans="1:6">
      <c r="A14" s="21">
        <v>8</v>
      </c>
      <c r="B14" s="5" t="s">
        <v>20</v>
      </c>
      <c r="C14" s="21" t="s">
        <v>21</v>
      </c>
      <c r="D14" s="21" t="s">
        <v>12</v>
      </c>
      <c r="E14" s="21" t="s">
        <v>13</v>
      </c>
      <c r="F14" s="5"/>
    </row>
    <row r="15" ht="15" customHeight="1" spans="1:6">
      <c r="A15" s="21">
        <v>9</v>
      </c>
      <c r="B15" s="5" t="s">
        <v>22</v>
      </c>
      <c r="C15" s="21" t="s">
        <v>21</v>
      </c>
      <c r="D15" s="21" t="s">
        <v>12</v>
      </c>
      <c r="E15" s="21" t="s">
        <v>13</v>
      </c>
      <c r="F15" s="5"/>
    </row>
    <row r="16" ht="15" customHeight="1" spans="1:6">
      <c r="A16" s="21">
        <v>10</v>
      </c>
      <c r="B16" s="5" t="s">
        <v>23</v>
      </c>
      <c r="C16" s="21" t="s">
        <v>21</v>
      </c>
      <c r="D16" s="21" t="s">
        <v>12</v>
      </c>
      <c r="E16" s="21" t="s">
        <v>24</v>
      </c>
      <c r="F16" s="5" t="s">
        <v>25</v>
      </c>
    </row>
    <row r="17" ht="15" customHeight="1" spans="1:6">
      <c r="A17" s="21">
        <v>11</v>
      </c>
      <c r="B17" s="5" t="s">
        <v>26</v>
      </c>
      <c r="C17" s="21" t="s">
        <v>21</v>
      </c>
      <c r="D17" s="21" t="s">
        <v>12</v>
      </c>
      <c r="E17" s="21" t="s">
        <v>13</v>
      </c>
      <c r="F17" s="5"/>
    </row>
    <row r="18" ht="15" customHeight="1" spans="1:6">
      <c r="A18" s="21">
        <v>12</v>
      </c>
      <c r="B18" s="5" t="s">
        <v>27</v>
      </c>
      <c r="C18" s="21" t="s">
        <v>21</v>
      </c>
      <c r="D18" s="21" t="s">
        <v>12</v>
      </c>
      <c r="E18" s="21" t="s">
        <v>24</v>
      </c>
      <c r="F18" s="5" t="s">
        <v>28</v>
      </c>
    </row>
    <row r="19" ht="15" customHeight="1" spans="1:6">
      <c r="A19" s="21">
        <v>13</v>
      </c>
      <c r="B19" s="5" t="s">
        <v>29</v>
      </c>
      <c r="C19" s="21" t="s">
        <v>21</v>
      </c>
      <c r="D19" s="21" t="s">
        <v>12</v>
      </c>
      <c r="E19" s="21" t="s">
        <v>13</v>
      </c>
      <c r="F19" s="5"/>
    </row>
    <row r="20" ht="15" customHeight="1" spans="1:6">
      <c r="A20" s="21">
        <v>14</v>
      </c>
      <c r="B20" s="5" t="s">
        <v>30</v>
      </c>
      <c r="C20" s="21" t="s">
        <v>21</v>
      </c>
      <c r="D20" s="21" t="s">
        <v>12</v>
      </c>
      <c r="E20" s="21" t="s">
        <v>13</v>
      </c>
      <c r="F20" s="5"/>
    </row>
    <row r="21" ht="15" customHeight="1" spans="1:6">
      <c r="A21" s="21">
        <v>15</v>
      </c>
      <c r="B21" s="5" t="s">
        <v>31</v>
      </c>
      <c r="C21" s="21" t="s">
        <v>21</v>
      </c>
      <c r="D21" s="21" t="s">
        <v>12</v>
      </c>
      <c r="E21" s="21" t="s">
        <v>13</v>
      </c>
      <c r="F21" s="5"/>
    </row>
    <row r="22" ht="39" customHeight="1" spans="1:6">
      <c r="A22" s="21">
        <v>16</v>
      </c>
      <c r="B22" s="5" t="s">
        <v>32</v>
      </c>
      <c r="C22" s="21" t="s">
        <v>21</v>
      </c>
      <c r="D22" s="21" t="s">
        <v>12</v>
      </c>
      <c r="E22" s="21" t="s">
        <v>24</v>
      </c>
      <c r="F22" s="5" t="s">
        <v>33</v>
      </c>
    </row>
    <row r="23" ht="30" customHeight="1" spans="1:6">
      <c r="A23" s="21">
        <v>17</v>
      </c>
      <c r="B23" s="5" t="s">
        <v>34</v>
      </c>
      <c r="C23" s="21" t="s">
        <v>21</v>
      </c>
      <c r="D23" s="21" t="s">
        <v>12</v>
      </c>
      <c r="E23" s="21" t="s">
        <v>24</v>
      </c>
      <c r="F23" s="5" t="s">
        <v>35</v>
      </c>
    </row>
    <row r="24" ht="32" customHeight="1" spans="1:6">
      <c r="A24" s="21">
        <v>18</v>
      </c>
      <c r="B24" s="5" t="s">
        <v>36</v>
      </c>
      <c r="C24" s="21" t="s">
        <v>21</v>
      </c>
      <c r="D24" s="21" t="s">
        <v>12</v>
      </c>
      <c r="E24" s="21" t="s">
        <v>13</v>
      </c>
      <c r="F24" s="5"/>
    </row>
    <row r="25" ht="39" customHeight="1" spans="1:6">
      <c r="A25" s="21">
        <v>19</v>
      </c>
      <c r="B25" s="5" t="s">
        <v>37</v>
      </c>
      <c r="C25" s="21" t="s">
        <v>21</v>
      </c>
      <c r="D25" s="21" t="s">
        <v>12</v>
      </c>
      <c r="E25" s="21" t="s">
        <v>24</v>
      </c>
      <c r="F25" s="5" t="s">
        <v>38</v>
      </c>
    </row>
    <row r="26" ht="15" customHeight="1" spans="1:6">
      <c r="A26" s="21">
        <v>20</v>
      </c>
      <c r="B26" s="5" t="s">
        <v>39</v>
      </c>
      <c r="C26" s="21" t="s">
        <v>21</v>
      </c>
      <c r="D26" s="21" t="s">
        <v>12</v>
      </c>
      <c r="E26" s="21" t="s">
        <v>13</v>
      </c>
      <c r="F26" s="5"/>
    </row>
    <row r="27" ht="15" customHeight="1" spans="1:6">
      <c r="A27" s="21">
        <v>21</v>
      </c>
      <c r="B27" s="5" t="s">
        <v>40</v>
      </c>
      <c r="C27" s="21" t="s">
        <v>21</v>
      </c>
      <c r="D27" s="21" t="s">
        <v>12</v>
      </c>
      <c r="E27" s="21" t="s">
        <v>13</v>
      </c>
      <c r="F27" s="5"/>
    </row>
    <row r="28" ht="15" customHeight="1" spans="1:6">
      <c r="A28" s="21">
        <v>22</v>
      </c>
      <c r="B28" s="5" t="s">
        <v>41</v>
      </c>
      <c r="C28" s="21" t="s">
        <v>21</v>
      </c>
      <c r="D28" s="21" t="s">
        <v>12</v>
      </c>
      <c r="E28" s="21" t="s">
        <v>13</v>
      </c>
      <c r="F28" s="5"/>
    </row>
    <row r="29" ht="15" customHeight="1" spans="1:6">
      <c r="A29" s="21">
        <v>23</v>
      </c>
      <c r="B29" s="5" t="s">
        <v>42</v>
      </c>
      <c r="C29" s="21" t="s">
        <v>21</v>
      </c>
      <c r="D29" s="21" t="s">
        <v>12</v>
      </c>
      <c r="E29" s="21" t="s">
        <v>13</v>
      </c>
      <c r="F29" s="5"/>
    </row>
    <row r="30" ht="15" customHeight="1" spans="1:6">
      <c r="A30" s="21">
        <v>24</v>
      </c>
      <c r="B30" s="5" t="s">
        <v>43</v>
      </c>
      <c r="C30" s="21" t="s">
        <v>21</v>
      </c>
      <c r="D30" s="21" t="s">
        <v>12</v>
      </c>
      <c r="E30" s="21" t="s">
        <v>13</v>
      </c>
      <c r="F30" s="5"/>
    </row>
    <row r="31" ht="15" customHeight="1" spans="1:6">
      <c r="A31" s="21">
        <v>25</v>
      </c>
      <c r="B31" s="5" t="s">
        <v>44</v>
      </c>
      <c r="C31" s="21" t="s">
        <v>21</v>
      </c>
      <c r="D31" s="21" t="s">
        <v>12</v>
      </c>
      <c r="E31" s="21" t="s">
        <v>24</v>
      </c>
      <c r="F31" s="5" t="s">
        <v>45</v>
      </c>
    </row>
    <row r="32" ht="15" customHeight="1" spans="1:6">
      <c r="A32" s="21">
        <v>26</v>
      </c>
      <c r="B32" s="5" t="s">
        <v>46</v>
      </c>
      <c r="C32" s="21" t="s">
        <v>21</v>
      </c>
      <c r="D32" s="21" t="s">
        <v>12</v>
      </c>
      <c r="E32" s="21" t="s">
        <v>24</v>
      </c>
      <c r="F32" s="5" t="s">
        <v>33</v>
      </c>
    </row>
    <row r="33" ht="15" customHeight="1" spans="1:6">
      <c r="A33" s="21">
        <v>27</v>
      </c>
      <c r="B33" s="5" t="s">
        <v>47</v>
      </c>
      <c r="C33" s="21" t="s">
        <v>21</v>
      </c>
      <c r="D33" s="21" t="s">
        <v>12</v>
      </c>
      <c r="E33" s="21" t="s">
        <v>24</v>
      </c>
      <c r="F33" s="5" t="s">
        <v>33</v>
      </c>
    </row>
    <row r="34" ht="33" customHeight="1" spans="1:6">
      <c r="A34" s="21">
        <v>28</v>
      </c>
      <c r="B34" s="5" t="s">
        <v>48</v>
      </c>
      <c r="C34" s="21" t="s">
        <v>21</v>
      </c>
      <c r="D34" s="21" t="s">
        <v>12</v>
      </c>
      <c r="E34" s="21" t="s">
        <v>13</v>
      </c>
      <c r="F34" s="5"/>
    </row>
    <row r="35" ht="40" customHeight="1" spans="1:6">
      <c r="A35" s="21">
        <v>29</v>
      </c>
      <c r="B35" s="5" t="s">
        <v>49</v>
      </c>
      <c r="C35" s="21" t="s">
        <v>21</v>
      </c>
      <c r="D35" s="21" t="s">
        <v>12</v>
      </c>
      <c r="E35" s="21" t="s">
        <v>13</v>
      </c>
      <c r="F35" s="5"/>
    </row>
    <row r="36" ht="15" customHeight="1" spans="1:6">
      <c r="A36" s="21">
        <v>30</v>
      </c>
      <c r="B36" s="5" t="s">
        <v>50</v>
      </c>
      <c r="C36" s="21" t="s">
        <v>51</v>
      </c>
      <c r="D36" s="21" t="s">
        <v>12</v>
      </c>
      <c r="E36" s="21" t="s">
        <v>13</v>
      </c>
      <c r="F36" s="5"/>
    </row>
    <row r="37" ht="15" customHeight="1" spans="1:6">
      <c r="A37" s="21">
        <v>31</v>
      </c>
      <c r="B37" s="5" t="s">
        <v>52</v>
      </c>
      <c r="C37" s="21" t="s">
        <v>51</v>
      </c>
      <c r="D37" s="21" t="s">
        <v>12</v>
      </c>
      <c r="E37" s="21" t="s">
        <v>13</v>
      </c>
      <c r="F37" s="5"/>
    </row>
    <row r="38" ht="15" customHeight="1" spans="1:6">
      <c r="A38" s="21">
        <v>32</v>
      </c>
      <c r="B38" s="5" t="s">
        <v>53</v>
      </c>
      <c r="C38" s="21" t="s">
        <v>51</v>
      </c>
      <c r="D38" s="21" t="s">
        <v>12</v>
      </c>
      <c r="E38" s="21" t="s">
        <v>13</v>
      </c>
      <c r="F38" s="5"/>
    </row>
    <row r="39" ht="15" customHeight="1" spans="1:6">
      <c r="A39" s="21">
        <v>33</v>
      </c>
      <c r="B39" s="5" t="s">
        <v>54</v>
      </c>
      <c r="C39" s="21" t="s">
        <v>55</v>
      </c>
      <c r="D39" s="21" t="s">
        <v>12</v>
      </c>
      <c r="E39" s="21" t="s">
        <v>24</v>
      </c>
      <c r="F39" s="5" t="s">
        <v>56</v>
      </c>
    </row>
    <row r="40" ht="15" customHeight="1" spans="1:6">
      <c r="A40" s="21">
        <v>34</v>
      </c>
      <c r="B40" s="5" t="s">
        <v>57</v>
      </c>
      <c r="C40" s="21" t="s">
        <v>55</v>
      </c>
      <c r="D40" s="21" t="s">
        <v>12</v>
      </c>
      <c r="E40" s="21" t="s">
        <v>13</v>
      </c>
      <c r="F40" s="5"/>
    </row>
    <row r="41" ht="17" customHeight="1" spans="1:6">
      <c r="A41" s="21">
        <v>35</v>
      </c>
      <c r="B41" s="5" t="s">
        <v>58</v>
      </c>
      <c r="C41" s="21" t="s">
        <v>55</v>
      </c>
      <c r="D41" s="21" t="s">
        <v>12</v>
      </c>
      <c r="E41" s="21" t="s">
        <v>13</v>
      </c>
      <c r="F41" s="5"/>
    </row>
    <row r="42" ht="35" customHeight="1" spans="1:6">
      <c r="A42" s="21">
        <v>36</v>
      </c>
      <c r="B42" s="5" t="s">
        <v>59</v>
      </c>
      <c r="C42" s="21" t="s">
        <v>55</v>
      </c>
      <c r="D42" s="21" t="s">
        <v>12</v>
      </c>
      <c r="E42" s="21" t="s">
        <v>24</v>
      </c>
      <c r="F42" s="5" t="s">
        <v>60</v>
      </c>
    </row>
    <row r="43" ht="39" customHeight="1" spans="1:6">
      <c r="A43" s="21">
        <v>37</v>
      </c>
      <c r="B43" s="5" t="s">
        <v>61</v>
      </c>
      <c r="C43" s="21" t="s">
        <v>55</v>
      </c>
      <c r="D43" s="21" t="s">
        <v>12</v>
      </c>
      <c r="E43" s="21" t="s">
        <v>13</v>
      </c>
      <c r="F43" s="5"/>
    </row>
    <row r="44" ht="39" customHeight="1" spans="1:6">
      <c r="A44" s="21">
        <v>38</v>
      </c>
      <c r="B44" s="5" t="s">
        <v>62</v>
      </c>
      <c r="C44" s="21" t="s">
        <v>11</v>
      </c>
      <c r="D44" s="21" t="s">
        <v>12</v>
      </c>
      <c r="E44" s="21" t="s">
        <v>13</v>
      </c>
      <c r="F44" s="5"/>
    </row>
    <row r="45" ht="28" customHeight="1" spans="1:6">
      <c r="A45" s="21">
        <v>39</v>
      </c>
      <c r="B45" s="5" t="s">
        <v>63</v>
      </c>
      <c r="C45" s="21" t="s">
        <v>11</v>
      </c>
      <c r="D45" s="21" t="s">
        <v>12</v>
      </c>
      <c r="E45" s="21" t="s">
        <v>13</v>
      </c>
      <c r="F45" s="5"/>
    </row>
    <row r="46" ht="45" customHeight="1" spans="1:6">
      <c r="A46" s="21">
        <v>40</v>
      </c>
      <c r="B46" s="5" t="s">
        <v>64</v>
      </c>
      <c r="C46" s="21" t="s">
        <v>11</v>
      </c>
      <c r="D46" s="21" t="s">
        <v>12</v>
      </c>
      <c r="E46" s="21" t="s">
        <v>13</v>
      </c>
      <c r="F46" s="5"/>
    </row>
    <row r="47" ht="15" customHeight="1" spans="1:6">
      <c r="A47" s="21">
        <v>41</v>
      </c>
      <c r="B47" s="5" t="s">
        <v>65</v>
      </c>
      <c r="C47" s="21" t="s">
        <v>11</v>
      </c>
      <c r="D47" s="21" t="s">
        <v>66</v>
      </c>
      <c r="E47" s="21" t="s">
        <v>24</v>
      </c>
      <c r="F47" s="5" t="s">
        <v>67</v>
      </c>
    </row>
    <row r="48" ht="15" customHeight="1" spans="1:6">
      <c r="A48" s="21">
        <v>42</v>
      </c>
      <c r="B48" s="5" t="s">
        <v>14</v>
      </c>
      <c r="C48" s="21" t="s">
        <v>11</v>
      </c>
      <c r="D48" s="21" t="s">
        <v>66</v>
      </c>
      <c r="E48" s="21" t="s">
        <v>13</v>
      </c>
      <c r="F48" s="5"/>
    </row>
    <row r="49" ht="15" customHeight="1" spans="1:6">
      <c r="A49" s="21">
        <v>43</v>
      </c>
      <c r="B49" s="5" t="s">
        <v>15</v>
      </c>
      <c r="C49" s="21" t="s">
        <v>11</v>
      </c>
      <c r="D49" s="21" t="s">
        <v>66</v>
      </c>
      <c r="E49" s="21" t="s">
        <v>13</v>
      </c>
      <c r="F49" s="5"/>
    </row>
    <row r="50" ht="15" customHeight="1" spans="1:6">
      <c r="A50" s="21">
        <v>44</v>
      </c>
      <c r="B50" s="5" t="s">
        <v>68</v>
      </c>
      <c r="C50" s="21" t="s">
        <v>11</v>
      </c>
      <c r="D50" s="21" t="s">
        <v>66</v>
      </c>
      <c r="E50" s="21" t="s">
        <v>13</v>
      </c>
      <c r="F50" s="5"/>
    </row>
    <row r="51" ht="15" customHeight="1" spans="1:6">
      <c r="A51" s="21">
        <v>45</v>
      </c>
      <c r="B51" s="5" t="s">
        <v>69</v>
      </c>
      <c r="C51" s="21" t="s">
        <v>11</v>
      </c>
      <c r="D51" s="21" t="s">
        <v>66</v>
      </c>
      <c r="E51" s="21" t="s">
        <v>13</v>
      </c>
      <c r="F51" s="5"/>
    </row>
    <row r="52" ht="15" customHeight="1" spans="1:6">
      <c r="A52" s="21">
        <v>46</v>
      </c>
      <c r="B52" s="5" t="s">
        <v>19</v>
      </c>
      <c r="C52" s="21" t="s">
        <v>11</v>
      </c>
      <c r="D52" s="21" t="s">
        <v>66</v>
      </c>
      <c r="E52" s="21" t="s">
        <v>13</v>
      </c>
      <c r="F52" s="5"/>
    </row>
    <row r="53" ht="15" customHeight="1" spans="1:6">
      <c r="A53" s="21">
        <v>47</v>
      </c>
      <c r="B53" s="5" t="s">
        <v>22</v>
      </c>
      <c r="C53" s="21" t="s">
        <v>21</v>
      </c>
      <c r="D53" s="21" t="s">
        <v>66</v>
      </c>
      <c r="E53" s="21" t="s">
        <v>13</v>
      </c>
      <c r="F53" s="5"/>
    </row>
    <row r="54" ht="15" customHeight="1" spans="1:6">
      <c r="A54" s="21">
        <v>48</v>
      </c>
      <c r="B54" s="5" t="s">
        <v>23</v>
      </c>
      <c r="C54" s="21" t="s">
        <v>21</v>
      </c>
      <c r="D54" s="21" t="s">
        <v>66</v>
      </c>
      <c r="E54" s="21" t="s">
        <v>24</v>
      </c>
      <c r="F54" s="5" t="s">
        <v>70</v>
      </c>
    </row>
    <row r="55" ht="15" customHeight="1" spans="1:6">
      <c r="A55" s="21">
        <v>49</v>
      </c>
      <c r="B55" s="5" t="s">
        <v>26</v>
      </c>
      <c r="C55" s="21" t="s">
        <v>21</v>
      </c>
      <c r="D55" s="21" t="s">
        <v>66</v>
      </c>
      <c r="E55" s="21" t="s">
        <v>24</v>
      </c>
      <c r="F55" s="5" t="s">
        <v>71</v>
      </c>
    </row>
    <row r="56" ht="15" customHeight="1" spans="1:6">
      <c r="A56" s="21">
        <v>50</v>
      </c>
      <c r="B56" s="5" t="s">
        <v>30</v>
      </c>
      <c r="C56" s="21" t="s">
        <v>21</v>
      </c>
      <c r="D56" s="21" t="s">
        <v>66</v>
      </c>
      <c r="E56" s="21" t="s">
        <v>13</v>
      </c>
      <c r="F56" s="5"/>
    </row>
    <row r="57" ht="15" customHeight="1" spans="1:6">
      <c r="A57" s="21">
        <v>51</v>
      </c>
      <c r="B57" s="5" t="s">
        <v>31</v>
      </c>
      <c r="C57" s="21" t="s">
        <v>21</v>
      </c>
      <c r="D57" s="21" t="s">
        <v>66</v>
      </c>
      <c r="E57" s="21" t="s">
        <v>13</v>
      </c>
      <c r="F57" s="5"/>
    </row>
    <row r="58" ht="45" customHeight="1" spans="1:6">
      <c r="A58" s="21">
        <v>52</v>
      </c>
      <c r="B58" s="5" t="s">
        <v>72</v>
      </c>
      <c r="C58" s="21" t="s">
        <v>21</v>
      </c>
      <c r="D58" s="21" t="s">
        <v>66</v>
      </c>
      <c r="E58" s="21" t="s">
        <v>24</v>
      </c>
      <c r="F58" s="5" t="s">
        <v>73</v>
      </c>
    </row>
    <row r="59" ht="15" customHeight="1" spans="1:6">
      <c r="A59" s="21">
        <v>53</v>
      </c>
      <c r="B59" s="5" t="s">
        <v>74</v>
      </c>
      <c r="C59" s="21" t="s">
        <v>21</v>
      </c>
      <c r="D59" s="21" t="s">
        <v>66</v>
      </c>
      <c r="E59" s="21" t="s">
        <v>13</v>
      </c>
      <c r="F59" s="5"/>
    </row>
    <row r="60" ht="15" customHeight="1" spans="1:6">
      <c r="A60" s="21">
        <v>54</v>
      </c>
      <c r="B60" s="5" t="s">
        <v>75</v>
      </c>
      <c r="C60" s="21" t="s">
        <v>21</v>
      </c>
      <c r="D60" s="21" t="s">
        <v>66</v>
      </c>
      <c r="E60" s="21" t="s">
        <v>13</v>
      </c>
      <c r="F60" s="5"/>
    </row>
    <row r="61" ht="15" customHeight="1" spans="1:6">
      <c r="A61" s="21">
        <v>55</v>
      </c>
      <c r="B61" s="5" t="s">
        <v>76</v>
      </c>
      <c r="C61" s="21" t="s">
        <v>51</v>
      </c>
      <c r="D61" s="21" t="s">
        <v>66</v>
      </c>
      <c r="E61" s="21" t="s">
        <v>13</v>
      </c>
      <c r="F61" s="5"/>
    </row>
    <row r="62" ht="15" customHeight="1" spans="1:6">
      <c r="A62" s="21">
        <v>56</v>
      </c>
      <c r="B62" s="5" t="s">
        <v>77</v>
      </c>
      <c r="C62" s="21" t="s">
        <v>51</v>
      </c>
      <c r="D62" s="21" t="s">
        <v>66</v>
      </c>
      <c r="E62" s="21" t="s">
        <v>13</v>
      </c>
      <c r="F62" s="5"/>
    </row>
    <row r="63" ht="15" customHeight="1" spans="1:6">
      <c r="A63" s="21">
        <v>57</v>
      </c>
      <c r="B63" s="5" t="s">
        <v>78</v>
      </c>
      <c r="C63" s="21" t="s">
        <v>51</v>
      </c>
      <c r="D63" s="21" t="s">
        <v>66</v>
      </c>
      <c r="E63" s="21" t="s">
        <v>13</v>
      </c>
      <c r="F63" s="5"/>
    </row>
    <row r="64" ht="34" customHeight="1" spans="1:6">
      <c r="A64" s="21">
        <v>58</v>
      </c>
      <c r="B64" s="5" t="s">
        <v>79</v>
      </c>
      <c r="C64" s="21" t="s">
        <v>55</v>
      </c>
      <c r="D64" s="21" t="s">
        <v>66</v>
      </c>
      <c r="E64" s="21" t="s">
        <v>13</v>
      </c>
      <c r="F64" s="5"/>
    </row>
    <row r="65" ht="41" customHeight="1" spans="1:6">
      <c r="A65" s="21">
        <v>59</v>
      </c>
      <c r="B65" s="5" t="s">
        <v>80</v>
      </c>
      <c r="C65" s="21" t="s">
        <v>55</v>
      </c>
      <c r="D65" s="21" t="s">
        <v>66</v>
      </c>
      <c r="E65" s="21" t="s">
        <v>13</v>
      </c>
      <c r="F65" s="5"/>
    </row>
    <row r="66" ht="15" customHeight="1" spans="1:6">
      <c r="A66" s="21">
        <v>60</v>
      </c>
      <c r="B66" s="5" t="s">
        <v>81</v>
      </c>
      <c r="C66" s="21" t="s">
        <v>55</v>
      </c>
      <c r="D66" s="21" t="s">
        <v>66</v>
      </c>
      <c r="E66" s="21" t="s">
        <v>24</v>
      </c>
      <c r="F66" s="5" t="s">
        <v>82</v>
      </c>
    </row>
    <row r="67" ht="38" customHeight="1" spans="1:6">
      <c r="A67" s="21">
        <v>61</v>
      </c>
      <c r="B67" s="5" t="s">
        <v>83</v>
      </c>
      <c r="C67" s="21" t="s">
        <v>55</v>
      </c>
      <c r="D67" s="21" t="s">
        <v>66</v>
      </c>
      <c r="E67" s="21" t="s">
        <v>24</v>
      </c>
      <c r="F67" s="5" t="s">
        <v>84</v>
      </c>
    </row>
    <row r="68" ht="39" customHeight="1" spans="1:6">
      <c r="A68" s="21">
        <v>62</v>
      </c>
      <c r="B68" s="5" t="s">
        <v>85</v>
      </c>
      <c r="C68" s="21" t="s">
        <v>55</v>
      </c>
      <c r="D68" s="21" t="s">
        <v>66</v>
      </c>
      <c r="E68" s="21" t="s">
        <v>13</v>
      </c>
      <c r="F68" s="5"/>
    </row>
    <row r="69" ht="15" customHeight="1" spans="1:6">
      <c r="A69" s="21">
        <v>63</v>
      </c>
      <c r="B69" s="5" t="s">
        <v>86</v>
      </c>
      <c r="C69" s="21" t="s">
        <v>55</v>
      </c>
      <c r="D69" s="21" t="s">
        <v>66</v>
      </c>
      <c r="E69" s="21" t="s">
        <v>13</v>
      </c>
      <c r="F69" s="5"/>
    </row>
    <row r="70" ht="15" customHeight="1" spans="1:6">
      <c r="A70" s="21">
        <v>64</v>
      </c>
      <c r="B70" s="5" t="s">
        <v>87</v>
      </c>
      <c r="C70" s="21" t="s">
        <v>55</v>
      </c>
      <c r="D70" s="21" t="s">
        <v>66</v>
      </c>
      <c r="E70" s="21" t="s">
        <v>13</v>
      </c>
      <c r="F70" s="5"/>
    </row>
    <row r="71" ht="15" customHeight="1" spans="1:6">
      <c r="A71" s="21">
        <v>65</v>
      </c>
      <c r="B71" s="5" t="s">
        <v>88</v>
      </c>
      <c r="C71" s="21" t="s">
        <v>55</v>
      </c>
      <c r="D71" s="21" t="s">
        <v>66</v>
      </c>
      <c r="E71" s="21" t="s">
        <v>24</v>
      </c>
      <c r="F71" s="5" t="s">
        <v>89</v>
      </c>
    </row>
    <row r="72" ht="15" customHeight="1" spans="1:6">
      <c r="A72" s="21">
        <v>66</v>
      </c>
      <c r="B72" s="5" t="s">
        <v>90</v>
      </c>
      <c r="C72" s="21" t="s">
        <v>55</v>
      </c>
      <c r="D72" s="21" t="s">
        <v>66</v>
      </c>
      <c r="E72" s="21" t="s">
        <v>24</v>
      </c>
      <c r="F72" s="5" t="s">
        <v>56</v>
      </c>
    </row>
    <row r="73" ht="44" customHeight="1" spans="1:6">
      <c r="A73" s="21">
        <v>67</v>
      </c>
      <c r="B73" s="5" t="s">
        <v>91</v>
      </c>
      <c r="C73" s="21" t="s">
        <v>55</v>
      </c>
      <c r="D73" s="21" t="s">
        <v>66</v>
      </c>
      <c r="E73" s="21" t="s">
        <v>13</v>
      </c>
      <c r="F73" s="5"/>
    </row>
    <row r="74" ht="37" customHeight="1" spans="1:6">
      <c r="A74" s="21">
        <v>68</v>
      </c>
      <c r="B74" s="5" t="s">
        <v>62</v>
      </c>
      <c r="C74" s="21" t="s">
        <v>11</v>
      </c>
      <c r="D74" s="21" t="s">
        <v>66</v>
      </c>
      <c r="E74" s="21" t="s">
        <v>13</v>
      </c>
      <c r="F74" s="5"/>
    </row>
    <row r="75" ht="15" customHeight="1" spans="1:6">
      <c r="A75" s="21">
        <v>69</v>
      </c>
      <c r="B75" s="5" t="s">
        <v>63</v>
      </c>
      <c r="C75" s="21" t="s">
        <v>11</v>
      </c>
      <c r="D75" s="21" t="s">
        <v>66</v>
      </c>
      <c r="E75" s="21" t="s">
        <v>13</v>
      </c>
      <c r="F75" s="5"/>
    </row>
    <row r="76" ht="37" customHeight="1" spans="1:6">
      <c r="A76" s="21">
        <v>70</v>
      </c>
      <c r="B76" s="5" t="s">
        <v>64</v>
      </c>
      <c r="C76" s="21" t="s">
        <v>11</v>
      </c>
      <c r="D76" s="21" t="s">
        <v>66</v>
      </c>
      <c r="E76" s="21" t="s">
        <v>13</v>
      </c>
      <c r="F76" s="5"/>
    </row>
  </sheetData>
  <mergeCells count="4">
    <mergeCell ref="A1:F1"/>
    <mergeCell ref="A2:F2"/>
    <mergeCell ref="A3:F3"/>
    <mergeCell ref="A4:F4"/>
  </mergeCells>
  <conditionalFormatting sqref="E7:E76">
    <cfRule type="cellIs" dxfId="0" priority="2" operator="equal">
      <formula>"Pass"</formula>
    </cfRule>
    <cfRule type="cellIs" dxfId="0" priority="3" operator="equal">
      <formula>"Pass"</formula>
    </cfRule>
    <cfRule type="cellIs" dxfId="1" priority="4" operator="equal">
      <formula>"Fail"</formula>
    </cfRule>
  </conditionalFormatting>
  <dataValidations count="1">
    <dataValidation type="list" allowBlank="1" sqref="E7:E76">
      <formula1>"Pass,Fail,N/A,Chưa test"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C20" sqref="C20"/>
    </sheetView>
  </sheetViews>
  <sheetFormatPr defaultColWidth="8.68181818181818" defaultRowHeight="15.5" outlineLevelCol="5"/>
  <cols>
    <col min="1" max="1" width="50" style="9" customWidth="1"/>
    <col min="2" max="2" width="20.7272727272727" style="9" customWidth="1"/>
    <col min="3" max="3" width="16" style="9" customWidth="1"/>
    <col min="4" max="6" width="10" style="9" customWidth="1"/>
    <col min="7" max="16384" width="8.68181818181818" style="1"/>
  </cols>
  <sheetData>
    <row r="1" ht="17.25" customHeight="1" spans="1:6">
      <c r="A1" s="10" t="s">
        <v>92</v>
      </c>
      <c r="B1" s="10"/>
    </row>
    <row r="3" ht="15" customHeight="1" spans="1:6">
      <c r="A3" s="11" t="s">
        <v>93</v>
      </c>
      <c r="B3" s="12">
        <f>2</f>
        <v>2</v>
      </c>
    </row>
    <row r="4" ht="15" customHeight="1" spans="1:6">
      <c r="A4" s="11" t="s">
        <v>94</v>
      </c>
      <c r="B4" s="12">
        <f>COUNTA(Checklist!B7:B76)</f>
        <v>70</v>
      </c>
    </row>
    <row r="5" ht="15" customHeight="1" spans="1:6">
      <c r="A5" s="11" t="s">
        <v>95</v>
      </c>
      <c r="B5" s="12">
        <f>COUNTIF(Checklist!E7:E76,"Pass")+COUNTIF(Checklist!E7:E76,"Fail")+COUNTIF(Checklist!E7:E76,"N/A")</f>
        <v>70</v>
      </c>
    </row>
    <row r="6" ht="15" customHeight="1" spans="1:6">
      <c r="A6" s="11" t="s">
        <v>96</v>
      </c>
      <c r="B6" s="12">
        <f>COUNTIF(Checklist!E7:E76,"Pass")</f>
        <v>52</v>
      </c>
    </row>
    <row r="7" ht="15" customHeight="1" spans="1:6">
      <c r="A7" s="11" t="s">
        <v>97</v>
      </c>
      <c r="B7" s="12">
        <f>COUNTIF(Checklist!E7:E76,"Fail")</f>
        <v>18</v>
      </c>
    </row>
    <row r="8" ht="15" customHeight="1" spans="1:6">
      <c r="A8" s="11" t="s">
        <v>98</v>
      </c>
      <c r="B8" s="12">
        <f>COUNTIF(Checklist!E7:E76,"Fail")</f>
        <v>18</v>
      </c>
    </row>
    <row r="11" ht="15" customHeight="1" spans="1:6">
      <c r="A11" s="13" t="s">
        <v>99</v>
      </c>
    </row>
    <row r="12" ht="44" customHeight="1" spans="1:6">
      <c r="A12" s="3" t="s">
        <v>100</v>
      </c>
      <c r="B12" s="3" t="s">
        <v>101</v>
      </c>
      <c r="C12" s="3" t="s">
        <v>102</v>
      </c>
      <c r="D12" s="3" t="s">
        <v>103</v>
      </c>
      <c r="E12" s="3" t="s">
        <v>13</v>
      </c>
      <c r="F12" s="3" t="s">
        <v>24</v>
      </c>
    </row>
    <row r="13" ht="15" customHeight="1" spans="1:6">
      <c r="A13" s="11" t="s">
        <v>104</v>
      </c>
      <c r="B13" s="14">
        <f>COUNTIFS(Checklist!C7:C76,"IA-01",Checklist!D7:D76,"Đăng ký")</f>
        <v>10</v>
      </c>
      <c r="C13" s="14">
        <f>COUNTIFS(Checklist!C7:C76,"IA-01",Checklist!D7:D76,"Đăng nhập")</f>
        <v>9</v>
      </c>
      <c r="D13" s="14">
        <f>COUNTIF(Checklist!C7:C76,"IA-01")</f>
        <v>19</v>
      </c>
      <c r="E13" s="14">
        <f>COUNTIFS(Checklist!C7:C76,"IA-01",Checklist!E7:E76,"Pass")</f>
        <v>18</v>
      </c>
      <c r="F13" s="14">
        <f>COUNTIFS(Checklist!C7:C76,"IA-01",Checklist!E7:E76,"Fail")</f>
        <v>1</v>
      </c>
    </row>
    <row r="14" ht="15" customHeight="1" spans="1:6">
      <c r="A14" s="11" t="s">
        <v>105</v>
      </c>
      <c r="B14" s="14">
        <f>COUNTIFS(Checklist!C7:C76,"IA-02",Checklist!D7:D76,"Đăng ký")</f>
        <v>22</v>
      </c>
      <c r="C14" s="14">
        <f>COUNTIFS(Checklist!C7:C76,"IA-02",Checklist!D7:D76,"Đăng nhập")</f>
        <v>8</v>
      </c>
      <c r="D14" s="14">
        <f>COUNTIF(Checklist!C7:C76,"IA-02")</f>
        <v>30</v>
      </c>
      <c r="E14" s="14">
        <f>COUNTIFS(Checklist!C7:C76,"IA-02",Checklist!E7:E76,"Pass")</f>
        <v>19</v>
      </c>
      <c r="F14" s="14">
        <f>COUNTIFS(Checklist!C7:C76,"IA-02",Checklist!E7:E76,"Fail")</f>
        <v>11</v>
      </c>
    </row>
    <row r="15" ht="15" customHeight="1" spans="1:6">
      <c r="A15" s="11" t="s">
        <v>106</v>
      </c>
      <c r="B15" s="14">
        <f>COUNTIFS(Checklist!C7:C76,"IA-03",Checklist!D7:D76,"Đăng ký")</f>
        <v>3</v>
      </c>
      <c r="C15" s="14">
        <f>COUNTIFS(Checklist!C7:C76,"IA-03",Checklist!D7:D76,"Đăng nhập")</f>
        <v>3</v>
      </c>
      <c r="D15" s="14">
        <f>COUNTIF(Checklist!C7:C76,"IA-03")</f>
        <v>6</v>
      </c>
      <c r="E15" s="14">
        <f>COUNTIFS(Checklist!C7:C76,"IA-03",Checklist!E7:E76,"Pass")</f>
        <v>6</v>
      </c>
      <c r="F15" s="14">
        <f>COUNTIFS(Checklist!C7:C76,"IA-03",Checklist!E7:E76,"Fail")</f>
        <v>0</v>
      </c>
    </row>
    <row r="16" ht="15" customHeight="1" spans="1:6">
      <c r="A16" s="11" t="s">
        <v>107</v>
      </c>
      <c r="B16" s="14">
        <f>COUNTIFS(Checklist!C7:C76,"IA-04",Checklist!D7:D76,"Đăng ký")</f>
        <v>5</v>
      </c>
      <c r="C16" s="14">
        <f>COUNTIFS(Checklist!C7:C76,"IA-04",Checklist!D7:D76,"Đăng nhập")</f>
        <v>10</v>
      </c>
      <c r="D16" s="14">
        <f>COUNTIF(Checklist!C7:C76,"IA-04")</f>
        <v>15</v>
      </c>
      <c r="E16" s="14">
        <f>COUNTIFS(Checklist!C7:C76,"IA-04",Checklist!E7:E76,"Pass")</f>
        <v>9</v>
      </c>
      <c r="F16" s="14">
        <f>COUNTIFS(Checklist!C7:C76,"IA-04",Checklist!E7:E76,"Fail")</f>
        <v>6</v>
      </c>
    </row>
    <row r="17" ht="15" customHeight="1" spans="1:6">
      <c r="A17" s="15" t="s">
        <v>103</v>
      </c>
      <c r="B17" s="12">
        <f>SUM(B13:B16)</f>
        <v>40</v>
      </c>
      <c r="C17" s="12">
        <f>SUM(C13:C16)</f>
        <v>30</v>
      </c>
      <c r="D17" s="12">
        <f>SUM(D13:D16)</f>
        <v>70</v>
      </c>
      <c r="E17" s="12">
        <f>SUM(E13:E16)</f>
        <v>52</v>
      </c>
      <c r="F17" s="12">
        <f>SUM(F13:F16)</f>
        <v>18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3" topLeftCell="A9" activePane="bottomLeft" state="frozen"/>
      <selection/>
      <selection pane="bottomLeft" activeCell="B16" sqref="B16"/>
    </sheetView>
  </sheetViews>
  <sheetFormatPr defaultColWidth="8.68181818181818" defaultRowHeight="15.5" outlineLevelCol="4"/>
  <cols>
    <col min="1" max="1" width="10" style="1" customWidth="1"/>
    <col min="2" max="2" width="55" style="1" customWidth="1"/>
    <col min="3" max="3" width="12" style="1" customWidth="1"/>
    <col min="4" max="4" width="16" style="1" customWidth="1"/>
    <col min="5" max="5" width="20" style="1" customWidth="1"/>
    <col min="6" max="16384" width="8.68181818181818" style="1"/>
  </cols>
  <sheetData>
    <row r="1" ht="15" spans="1:5">
      <c r="A1" s="2" t="s">
        <v>108</v>
      </c>
      <c r="B1" s="2"/>
      <c r="C1" s="2"/>
      <c r="D1" s="2"/>
      <c r="E1" s="2"/>
    </row>
    <row r="3" ht="30" customHeight="1" spans="1:5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113</v>
      </c>
    </row>
    <row r="4" ht="31" spans="1:5">
      <c r="A4" s="4" t="s">
        <v>114</v>
      </c>
      <c r="B4" s="5" t="s">
        <v>115</v>
      </c>
      <c r="C4" s="6" t="s">
        <v>116</v>
      </c>
      <c r="D4" s="4" t="s">
        <v>117</v>
      </c>
      <c r="E4" s="4" t="s">
        <v>118</v>
      </c>
    </row>
    <row r="5" ht="31" spans="1:5">
      <c r="A5" s="4" t="s">
        <v>119</v>
      </c>
      <c r="B5" s="5" t="s">
        <v>120</v>
      </c>
      <c r="C5" s="7" t="s">
        <v>121</v>
      </c>
      <c r="D5" s="4" t="s">
        <v>122</v>
      </c>
      <c r="E5" s="4" t="s">
        <v>123</v>
      </c>
    </row>
    <row r="6" ht="31" spans="1:5">
      <c r="A6" s="4" t="s">
        <v>124</v>
      </c>
      <c r="B6" s="5" t="s">
        <v>125</v>
      </c>
      <c r="C6" s="6" t="s">
        <v>116</v>
      </c>
      <c r="D6" s="4" t="s">
        <v>126</v>
      </c>
      <c r="E6" s="4" t="s">
        <v>127</v>
      </c>
    </row>
    <row r="7" spans="1:5">
      <c r="A7" s="4" t="s">
        <v>128</v>
      </c>
      <c r="B7" s="5" t="s">
        <v>129</v>
      </c>
      <c r="C7" s="6" t="s">
        <v>116</v>
      </c>
      <c r="D7" s="4" t="s">
        <v>130</v>
      </c>
      <c r="E7" s="4" t="s">
        <v>131</v>
      </c>
    </row>
    <row r="8" ht="31" spans="1:5">
      <c r="A8" s="4" t="s">
        <v>132</v>
      </c>
      <c r="B8" s="5" t="s">
        <v>133</v>
      </c>
      <c r="C8" s="6" t="s">
        <v>116</v>
      </c>
      <c r="D8" s="4" t="s">
        <v>134</v>
      </c>
      <c r="E8" s="4" t="s">
        <v>135</v>
      </c>
    </row>
    <row r="9" ht="31" spans="1:5">
      <c r="A9" s="4" t="s">
        <v>136</v>
      </c>
      <c r="B9" s="5" t="s">
        <v>137</v>
      </c>
      <c r="C9" s="6" t="s">
        <v>116</v>
      </c>
      <c r="D9" s="4" t="s">
        <v>138</v>
      </c>
      <c r="E9" s="4" t="s">
        <v>139</v>
      </c>
    </row>
    <row r="10" ht="31" spans="1:5">
      <c r="A10" s="4" t="s">
        <v>140</v>
      </c>
      <c r="B10" s="5" t="s">
        <v>141</v>
      </c>
      <c r="C10" s="6" t="s">
        <v>116</v>
      </c>
      <c r="D10" s="4" t="s">
        <v>142</v>
      </c>
      <c r="E10" s="4" t="s">
        <v>143</v>
      </c>
    </row>
    <row r="11" ht="31" spans="1:5">
      <c r="A11" s="4" t="s">
        <v>144</v>
      </c>
      <c r="B11" s="5" t="s">
        <v>145</v>
      </c>
      <c r="C11" s="7" t="s">
        <v>121</v>
      </c>
      <c r="D11" s="4" t="s">
        <v>146</v>
      </c>
      <c r="E11" s="4" t="s">
        <v>147</v>
      </c>
    </row>
    <row r="12" spans="1:5">
      <c r="A12" s="4" t="s">
        <v>148</v>
      </c>
      <c r="B12" s="5" t="s">
        <v>149</v>
      </c>
      <c r="C12" s="7" t="s">
        <v>121</v>
      </c>
      <c r="D12" s="4" t="s">
        <v>150</v>
      </c>
      <c r="E12" s="4" t="s">
        <v>151</v>
      </c>
    </row>
    <row r="13" ht="31" spans="1:5">
      <c r="A13" s="4" t="s">
        <v>152</v>
      </c>
      <c r="B13" s="5" t="s">
        <v>153</v>
      </c>
      <c r="C13" s="6" t="s">
        <v>116</v>
      </c>
      <c r="D13" s="4" t="s">
        <v>154</v>
      </c>
      <c r="E13" s="4" t="s">
        <v>155</v>
      </c>
    </row>
    <row r="15" ht="15" spans="1:5">
      <c r="A15" s="8" t="s">
        <v>156</v>
      </c>
    </row>
    <row r="16" spans="1:5">
      <c r="A16" s="8" t="s">
        <v>157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Checklist</vt:lpstr>
      <vt:lpstr>Test Summary</vt:lpstr>
      <vt:lpstr>Bug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Chau</cp:lastModifiedBy>
  <cp:revision>0</cp:revision>
  <dcterms:created xsi:type="dcterms:W3CDTF">2026-08-02T15:04:00Z</dcterms:created>
  <dcterms:modified xsi:type="dcterms:W3CDTF">2026-08-02T19:44:50Z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0B4309F24CCC4F828700906D0EE9ACB3_12</vt:lpwstr>
  </property>
</Properties>
</file>